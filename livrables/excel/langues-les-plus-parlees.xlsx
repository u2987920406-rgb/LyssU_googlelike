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10 langues" sheetId="1" state="visible" r:id="rId1"/>
    <sheet xmlns:r="http://schemas.openxmlformats.org/officeDocument/2006/relationships" name="Analyse" sheetId="2" state="visible" r:id="rId2"/>
    <sheet xmlns:r="http://schemas.openxmlformats.org/officeDocument/2006/relationships" name="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0.0 %"/>
  </numFmts>
  <fonts count="6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2E5C8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/>
    </xf>
    <xf numFmtId="164" fontId="4" fillId="3" borderId="1" applyAlignment="1" pivotButton="0" quotePrefix="0" xfId="0">
      <alignment horizontal="center" vertical="center" wrapText="1"/>
    </xf>
    <xf numFmtId="165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164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5" fontId="3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165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6" customWidth="1" min="4" max="4"/>
    <col width="12" customWidth="1" min="5" max="5"/>
    <col width="12" customWidth="1" min="6" max="6"/>
    <col width="16" customWidth="1" min="7" max="7"/>
    <col width="18" customWidth="1" min="8" max="8"/>
    <col width="12" customWidth="1" min="9" max="9"/>
  </cols>
  <sheetData>
    <row r="1">
      <c r="A1" s="1" t="inlineStr">
        <is>
          <t>Les 10 langues les plus parlées dans le monde</t>
        </is>
      </c>
    </row>
    <row r="2">
      <c r="A2" s="2" t="inlineStr">
        <is>
          <t>Locuteurs natifs (L1) et seconde langue (L2), en millions — Ethnologue 2026. Population mondiale de référence : 8 300 678 395 hab. (Worldometer, 1er juillet 2026).</t>
        </is>
      </c>
    </row>
    <row r="4" ht="34" customHeight="1">
      <c r="A4" s="3" t="inlineStr">
        <is>
          <t>Rang</t>
        </is>
      </c>
      <c r="B4" s="3" t="inlineStr">
        <is>
          <t>Langue</t>
        </is>
      </c>
      <c r="C4" s="3" t="inlineStr">
        <is>
          <t>Locuteurs natifs
L1 (M)</t>
        </is>
      </c>
      <c r="D4" s="3" t="inlineStr">
        <is>
          <t>Locuteurs seconde
langue L2 (M)</t>
        </is>
      </c>
      <c r="E4" s="3" t="inlineStr">
        <is>
          <t>Total
L1+L2 (M)</t>
        </is>
      </c>
      <c r="F4" s="3" t="inlineStr">
        <is>
          <t>% locuteurs
L2</t>
        </is>
      </c>
      <c r="G4" s="3" t="inlineStr">
        <is>
          <t>Part de la pop.
mondiale (locuteurs)</t>
        </is>
      </c>
      <c r="H4" s="3" t="inlineStr">
        <is>
          <t>Part de la pop.
mondiale (Factbook 2022)</t>
        </is>
      </c>
      <c r="I4" s="3" t="inlineStr">
        <is>
          <t>Présence
web (W3Techs)</t>
        </is>
      </c>
    </row>
    <row r="5">
      <c r="A5" s="4" t="n">
        <v>1</v>
      </c>
      <c r="B5" s="5" t="inlineStr">
        <is>
          <t>Anglais</t>
        </is>
      </c>
      <c r="C5" s="6" t="n">
        <v>372</v>
      </c>
      <c r="D5" s="6" t="n">
        <v>1121</v>
      </c>
      <c r="E5" s="6">
        <f>C5+D5</f>
        <v/>
      </c>
      <c r="F5" s="7">
        <f>D5/E5</f>
        <v/>
      </c>
      <c r="G5" s="7">
        <f>E5/8300.678395</f>
        <v/>
      </c>
      <c r="H5" s="7" t="n">
        <v>0.188</v>
      </c>
      <c r="I5" s="7" t="n">
        <v>0.493</v>
      </c>
    </row>
    <row r="6">
      <c r="A6" s="8" t="n">
        <v>2</v>
      </c>
      <c r="B6" s="9" t="inlineStr">
        <is>
          <t>Mandarin (chinois)</t>
        </is>
      </c>
      <c r="C6" s="10" t="n">
        <v>988</v>
      </c>
      <c r="D6" s="10" t="n">
        <v>194</v>
      </c>
      <c r="E6" s="10">
        <f>C6+D6</f>
        <v/>
      </c>
      <c r="F6" s="11">
        <f>D6/E6</f>
        <v/>
      </c>
      <c r="G6" s="11">
        <f>E6/8300.678395</f>
        <v/>
      </c>
      <c r="H6" s="11" t="n">
        <v>0.138</v>
      </c>
      <c r="I6" s="11" t="n">
        <v>0.011</v>
      </c>
    </row>
    <row r="7">
      <c r="A7" s="4" t="n">
        <v>3</v>
      </c>
      <c r="B7" s="5" t="inlineStr">
        <is>
          <t>Hindi</t>
        </is>
      </c>
      <c r="C7" s="6" t="n">
        <v>347</v>
      </c>
      <c r="D7" s="6" t="n">
        <v>264</v>
      </c>
      <c r="E7" s="6">
        <f>C7+D7</f>
        <v/>
      </c>
      <c r="F7" s="7">
        <f>D7/E7</f>
        <v/>
      </c>
      <c r="G7" s="7">
        <f>E7/8300.678395</f>
        <v/>
      </c>
      <c r="H7" s="7" t="n">
        <v>0.075</v>
      </c>
      <c r="I7" s="4" t="inlineStr">
        <is>
          <t>&lt; 0,1 %</t>
        </is>
      </c>
    </row>
    <row r="8">
      <c r="A8" s="8" t="n">
        <v>4</v>
      </c>
      <c r="B8" s="9" t="inlineStr">
        <is>
          <t>Espagnol</t>
        </is>
      </c>
      <c r="C8" s="10" t="n">
        <v>487</v>
      </c>
      <c r="D8" s="10" t="n">
        <v>75</v>
      </c>
      <c r="E8" s="10">
        <f>C8+D8</f>
        <v/>
      </c>
      <c r="F8" s="11">
        <f>D8/E8</f>
        <v/>
      </c>
      <c r="G8" s="11">
        <f>E8/8300.678395</f>
        <v/>
      </c>
      <c r="H8" s="11" t="n">
        <v>0.06900000000000001</v>
      </c>
      <c r="I8" s="11" t="n">
        <v>0.06</v>
      </c>
    </row>
    <row r="9">
      <c r="A9" s="4" t="n">
        <v>5</v>
      </c>
      <c r="B9" s="5" t="inlineStr">
        <is>
          <t>Arabe standard</t>
        </is>
      </c>
      <c r="C9" s="6" t="n">
        <v>0</v>
      </c>
      <c r="D9" s="6" t="n">
        <v>335</v>
      </c>
      <c r="E9" s="6">
        <f>C9+D9</f>
        <v/>
      </c>
      <c r="F9" s="7">
        <f>D9/E9</f>
        <v/>
      </c>
      <c r="G9" s="7">
        <f>E9/8300.678395</f>
        <v/>
      </c>
      <c r="H9" s="7" t="n">
        <v>0.034</v>
      </c>
      <c r="I9" s="4" t="inlineStr">
        <is>
          <t>&lt; 0,1 %</t>
        </is>
      </c>
    </row>
    <row r="10">
      <c r="A10" s="8" t="n">
        <v>6</v>
      </c>
      <c r="B10" s="9" t="inlineStr">
        <is>
          <t>Français</t>
        </is>
      </c>
      <c r="C10" s="10" t="n">
        <v>75</v>
      </c>
      <c r="D10" s="10" t="n">
        <v>258</v>
      </c>
      <c r="E10" s="10">
        <f>C10+D10</f>
        <v/>
      </c>
      <c r="F10" s="11">
        <f>D10/E10</f>
        <v/>
      </c>
      <c r="G10" s="11">
        <f>E10/8300.678395</f>
        <v/>
      </c>
      <c r="H10" s="11" t="n">
        <v>0.034</v>
      </c>
      <c r="I10" s="11" t="n">
        <v>0.045</v>
      </c>
    </row>
    <row r="11">
      <c r="A11" s="4" t="n">
        <v>7</v>
      </c>
      <c r="B11" s="5" t="inlineStr">
        <is>
          <t>Bengali</t>
        </is>
      </c>
      <c r="C11" s="6" t="n">
        <v>234</v>
      </c>
      <c r="D11" s="6" t="n">
        <v>43</v>
      </c>
      <c r="E11" s="6">
        <f>C11+D11</f>
        <v/>
      </c>
      <c r="F11" s="7">
        <f>D11/E11</f>
        <v/>
      </c>
      <c r="G11" s="7">
        <f>E11/8300.678395</f>
        <v/>
      </c>
      <c r="H11" s="7" t="n">
        <v>0.034</v>
      </c>
      <c r="I11" s="7" t="n">
        <v>0.001</v>
      </c>
    </row>
    <row r="12">
      <c r="A12" s="8" t="n">
        <v>8</v>
      </c>
      <c r="B12" s="9" t="inlineStr">
        <is>
          <t>Portugais</t>
        </is>
      </c>
      <c r="C12" s="10" t="n">
        <v>252</v>
      </c>
      <c r="D12" s="10" t="n">
        <v>18</v>
      </c>
      <c r="E12" s="10">
        <f>C12+D12</f>
        <v/>
      </c>
      <c r="F12" s="11">
        <f>D12/E12</f>
        <v/>
      </c>
      <c r="G12" s="11">
        <f>E12/8300.678395</f>
        <v/>
      </c>
      <c r="H12" s="11" t="n">
        <v>0.032</v>
      </c>
      <c r="I12" s="11" t="n">
        <v>0.04099999999999999</v>
      </c>
    </row>
    <row r="13">
      <c r="A13" s="4" t="n">
        <v>9</v>
      </c>
      <c r="B13" s="5" t="inlineStr">
        <is>
          <t>Indonésien</t>
        </is>
      </c>
      <c r="C13" s="6" t="n">
        <v>78</v>
      </c>
      <c r="D13" s="6" t="n">
        <v>177</v>
      </c>
      <c r="E13" s="6">
        <f>C13+D13</f>
        <v/>
      </c>
      <c r="F13" s="7">
        <f>D13/E13</f>
        <v/>
      </c>
      <c r="G13" s="7">
        <f>E13/8300.678395</f>
        <v/>
      </c>
      <c r="H13" s="4" t="inlineStr">
        <is>
          <t>n. c.</t>
        </is>
      </c>
      <c r="I13" s="4" t="inlineStr">
        <is>
          <t>&lt; 0,1 %</t>
        </is>
      </c>
    </row>
    <row r="14">
      <c r="A14" s="8" t="n">
        <v>10</v>
      </c>
      <c r="B14" s="9" t="inlineStr">
        <is>
          <t>Ourdou</t>
        </is>
      </c>
      <c r="C14" s="10" t="n">
        <v>78</v>
      </c>
      <c r="D14" s="10" t="n">
        <v>168</v>
      </c>
      <c r="E14" s="10">
        <f>C14+D14</f>
        <v/>
      </c>
      <c r="F14" s="11">
        <f>D14/E14</f>
        <v/>
      </c>
      <c r="G14" s="11">
        <f>E14/8300.678395</f>
        <v/>
      </c>
      <c r="H14" s="11" t="n">
        <v>0.029</v>
      </c>
      <c r="I14" s="8" t="inlineStr">
        <is>
          <t>&lt; 0,1 %</t>
        </is>
      </c>
    </row>
    <row r="15">
      <c r="A15" s="12" t="n"/>
      <c r="B15" s="12" t="inlineStr">
        <is>
          <t>TOTAL Top 10</t>
        </is>
      </c>
      <c r="C15" s="13">
        <f>SUM(C5:C14)</f>
        <v/>
      </c>
      <c r="D15" s="13">
        <f>SUM(D5:D14)</f>
        <v/>
      </c>
      <c r="E15" s="13">
        <f>SUM(E5:E14)</f>
        <v/>
      </c>
      <c r="F15" s="14">
        <f>D15/E15</f>
        <v/>
      </c>
      <c r="G15" s="12" t="n"/>
      <c r="H15" s="12" t="n"/>
      <c r="I15" s="12" t="n"/>
    </row>
    <row r="17">
      <c r="A17" s="15" t="inlineStr">
        <is>
          <t>Formules : Total = L1 + L2 · % locuteurs L2 = L2 / Total · Part de la population mondiale = Total / 8 300,7 M (Worldometer, 01/07/2026). « n. c. » = non communiqué par la source.</t>
        </is>
      </c>
    </row>
  </sheetData>
  <mergeCells count="3">
    <mergeCell ref="A1:I1"/>
    <mergeCell ref="A17:I17"/>
    <mergeCell ref="A2:I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62" customWidth="1" min="3" max="3"/>
  </cols>
  <sheetData>
    <row r="1">
      <c r="A1" s="1" t="inlineStr">
        <is>
          <t>Ce que montrent ces chiffres</t>
        </is>
      </c>
    </row>
    <row r="3">
      <c r="A3" s="3" t="inlineStr">
        <is>
          <t>Indicateur</t>
        </is>
      </c>
      <c r="B3" s="3" t="inlineStr">
        <is>
          <t>Valeur (formule)</t>
        </is>
      </c>
      <c r="C3" s="3" t="inlineStr">
        <is>
          <t>Lecture</t>
        </is>
      </c>
    </row>
    <row r="4">
      <c r="A4" s="16" t="inlineStr">
        <is>
          <t>Total de locuteurs du Top 10</t>
        </is>
      </c>
      <c r="B4" s="17">
        <f>'Top 10 langues'!E15</f>
        <v/>
      </c>
      <c r="C4" s="18" t="inlineStr">
        <is>
          <t>Le Top 10 couvre une part massive de l'humanité, mais les locuteurs se cumulent (bilingues comptés deux fois).</t>
        </is>
      </c>
    </row>
    <row r="5">
      <c r="A5" s="19" t="inlineStr">
        <is>
          <t>Part du Top 10 dans la population mondiale</t>
        </is>
      </c>
      <c r="B5" s="20">
        <f>'Top 10 langues'!E15/8300.678395</f>
        <v/>
      </c>
      <c r="C5" s="21" t="inlineStr">
        <is>
          <t>Ratio à lire avec prudence : un bilingue anglais+français entre dans deux lignes.</t>
        </is>
      </c>
    </row>
    <row r="6">
      <c r="A6" s="16" t="inlineStr">
        <is>
          <t>Moyenne de locuteurs par langue du Top 10</t>
        </is>
      </c>
      <c r="B6" s="17">
        <f>'Top 10 langues'!E15/10</f>
        <v/>
      </c>
      <c r="C6" s="18" t="inlineStr">
        <is>
          <t>Moyenne très tirée vers le haut par l'anglais et le mandarin.</t>
        </is>
      </c>
    </row>
    <row r="7">
      <c r="A7" s="19" t="inlineStr">
        <is>
          <t>Langue la plus parlée en natif</t>
        </is>
      </c>
      <c r="B7" s="22">
        <f>'Top 10 langues'!C6</f>
        <v/>
      </c>
      <c r="C7" s="21" t="inlineStr">
        <is>
          <t>Le mandarin domine largement en locuteurs natifs (988 M).</t>
        </is>
      </c>
    </row>
    <row r="8">
      <c r="A8" s="16" t="inlineStr">
        <is>
          <t>Langue la plus parlée toutes catégories</t>
        </is>
      </c>
      <c r="B8" s="17">
        <f>'Top 10 langues'!E5</f>
        <v/>
      </c>
      <c r="C8" s="18" t="inlineStr">
        <is>
          <t>L'anglais passe devant grâce à ses 1 121 M de locuteurs L2.</t>
        </is>
      </c>
    </row>
    <row r="9">
      <c r="A9" s="19" t="inlineStr">
        <is>
          <t>Part de locuteurs L2 (anglais)</t>
        </is>
      </c>
      <c r="B9" s="20">
        <f>'Top 10 langues'!F5</f>
        <v/>
      </c>
      <c r="C9" s="21" t="inlineStr">
        <is>
          <t>3 locuteurs de l'anglais sur 4 le parlent en seconde langue : effet de la diffusion mondiale.</t>
        </is>
      </c>
    </row>
    <row r="10">
      <c r="A10" s="16" t="inlineStr">
        <is>
          <t>Part de locuteurs L2 (mandarin)</t>
        </is>
      </c>
      <c r="B10" s="23">
        <f>'Top 10 langues'!F6</f>
        <v/>
      </c>
      <c r="C10" s="18" t="inlineStr">
        <is>
          <t>À l'inverse, le mandarin est surtout une langue maternelle, concentrée en Asie.</t>
        </is>
      </c>
    </row>
    <row r="11">
      <c r="A11" s="19" t="inlineStr">
        <is>
          <t>Présence web de l'anglais</t>
        </is>
      </c>
      <c r="B11" s="20">
        <f>'Top 10 langues'!I5</f>
        <v/>
      </c>
      <c r="C11" s="21" t="inlineStr">
        <is>
          <t>Près de la moitié des sites web sont en anglais (W3Techs, déc. 2025).</t>
        </is>
      </c>
    </row>
    <row r="12">
      <c r="A12" s="16" t="inlineStr">
        <is>
          <t>Présence web du mandarin</t>
        </is>
      </c>
      <c r="B12" s="23">
        <f>'Top 10 langues'!I6</f>
        <v/>
      </c>
      <c r="C12" s="18" t="inlineStr">
        <is>
          <t>1,1 % du web pour 1,2 Md de locuteurs : très fort décalage entre audience et contenu.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  <col width="62" customWidth="1" min="3" max="3"/>
    <col width="22" customWidth="1" min="4" max="4"/>
  </cols>
  <sheetData>
    <row r="1">
      <c r="A1" s="1" t="inlineStr">
        <is>
          <t>Sources — chaque chiffre du classeur est traçable ici</t>
        </is>
      </c>
    </row>
    <row r="3">
      <c r="A3" s="3" t="inlineStr">
        <is>
          <t>Chiffre utilisé</t>
        </is>
      </c>
      <c r="B3" s="3" t="inlineStr">
        <is>
          <t>Source</t>
        </is>
      </c>
      <c r="C3" s="3" t="inlineStr">
        <is>
          <t>Référence / URL</t>
        </is>
      </c>
      <c r="D3" s="3" t="inlineStr">
        <is>
          <t>Date de la donnée</t>
        </is>
      </c>
    </row>
    <row r="4">
      <c r="A4" s="21" t="inlineStr">
        <is>
          <t>Locuteurs L1, L2 et total (millions), Top 10</t>
        </is>
      </c>
      <c r="B4" s="21" t="inlineStr">
        <is>
          <t>Ethnologue 2026 (tableau « List of languages by total number of speakers »)</t>
        </is>
      </c>
      <c r="C4" s="21" t="inlineStr">
        <is>
          <t>https://en.wikipedia.org/wiki/List_of_languages_by_total_number_of_speakers</t>
        </is>
      </c>
      <c r="D4" s="21" t="inlineStr">
        <is>
          <t>édition Ethnologue 2026</t>
        </is>
      </c>
    </row>
    <row r="5">
      <c r="A5" s="18" t="inlineStr">
        <is>
          <t>Classement Top 10 (total de locuteurs)</t>
        </is>
      </c>
      <c r="B5" s="18" t="inlineStr">
        <is>
          <t>Ethnologue — « The Ethnologue 200 »</t>
        </is>
      </c>
      <c r="C5" s="18" t="inlineStr">
        <is>
          <t>https://www.ethnologue.com/insights/ethnologue200/</t>
        </is>
      </c>
      <c r="D5" s="18" t="inlineStr">
        <is>
          <t>2026</t>
        </is>
      </c>
    </row>
    <row r="6">
      <c r="A6" s="21" t="inlineStr">
        <is>
          <t>Nombre de pays où la langue est parlée (anglais 188, mandarin 108)</t>
        </is>
      </c>
      <c r="B6" s="21" t="inlineStr">
        <is>
          <t>Ethnologue — « What is the most spoken language? »</t>
        </is>
      </c>
      <c r="C6" s="21" t="inlineStr">
        <is>
          <t>https://www.ethnologue.com/insights/most-spoken-language/</t>
        </is>
      </c>
      <c r="D6" s="21" t="inlineStr">
        <is>
          <t>2025</t>
        </is>
      </c>
    </row>
    <row r="7">
      <c r="A7" s="18" t="inlineStr">
        <is>
          <t>Part de la population mondiale par langue</t>
        </is>
      </c>
      <c r="B7" s="18" t="inlineStr">
        <is>
          <t>CIA World Factbook (relevé Wikipédia)</t>
        </is>
      </c>
      <c r="C7" s="18" t="inlineStr">
        <is>
          <t>https://en.wikipedia.org/wiki/List_of_languages_by_total_number_of_speakers</t>
        </is>
      </c>
      <c r="D7" s="18" t="inlineStr">
        <is>
          <t>2022</t>
        </is>
      </c>
    </row>
    <row r="8">
      <c r="A8" s="21" t="inlineStr">
        <is>
          <t>Présence sur le web (% de sites par langue de contenu)</t>
        </is>
      </c>
      <c r="B8" s="21" t="inlineStr">
        <is>
          <t>W3Techs — Usage statistics of content languages for websites</t>
        </is>
      </c>
      <c r="C8" s="21" t="inlineStr">
        <is>
          <t>https://w3techs.com/technologies/overview/content_language</t>
        </is>
      </c>
      <c r="D8" s="21" t="inlineStr">
        <is>
          <t>3 décembre 2025</t>
        </is>
      </c>
    </row>
    <row r="9">
      <c r="A9" s="18" t="inlineStr">
        <is>
          <t>Population mondiale de référence (8 300 678 395 hab.)</t>
        </is>
      </c>
      <c r="B9" s="18" t="inlineStr">
        <is>
          <t>Worldometer — « Population mondiale »</t>
        </is>
      </c>
      <c r="C9" s="18" t="inlineStr">
        <is>
          <t>https://www.worldometer.fr/world-population/population-mondiale</t>
        </is>
      </c>
      <c r="D9" s="18" t="inlineStr">
        <is>
          <t>1er juillet 2026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2026-09-25T10:51:44Z</dcterms:created>
  <dcterms:modified xmlns:dcterms="http://purl.org/dc/terms/" xmlns:xsi="http://www.w3.org/2001/XMLSchema-instance" xsi:type="dcterms:W3CDTF">2026-09-25T10:51:44Z</dcterms:modified>
</cp:coreProperties>
</file>