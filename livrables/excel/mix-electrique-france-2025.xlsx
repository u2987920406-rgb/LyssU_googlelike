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 2025" sheetId="1" state="visible" r:id="rId1"/>
    <sheet xmlns:r="http://schemas.openxmlformats.org/officeDocument/2006/relationships" name="Indicateurs clé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 %"/>
  </numFmts>
  <fonts count="6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sz val="10"/>
    </font>
    <font>
      <b val="1"/>
      <color rgb="00FFFFFF"/>
      <sz val="11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CE9EE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5" fontId="5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4" customWidth="1" min="4" max="4"/>
    <col width="16" customWidth="1" min="5" max="5"/>
    <col width="16" customWidth="1" min="6" max="6"/>
  </cols>
  <sheetData>
    <row r="1">
      <c r="A1" s="1" t="inlineStr">
        <is>
          <t>Le mix électrique français en 2025</t>
        </is>
      </c>
    </row>
    <row r="2">
      <c r="A2" s="2" t="inlineStr">
        <is>
          <t>Production d'électricité en France métropolitaine par filière (TWh)</t>
        </is>
      </c>
    </row>
    <row r="4">
      <c r="A4" s="3" t="inlineStr">
        <is>
          <t>Filière</t>
        </is>
      </c>
      <c r="B4" s="3" t="inlineStr">
        <is>
          <t>Production 2025 (TWh)</t>
        </is>
      </c>
      <c r="C4" s="3" t="inlineStr">
        <is>
          <t>Production 2024 (TWh)</t>
        </is>
      </c>
      <c r="D4" s="3" t="inlineStr">
        <is>
          <t>Évolution 2025-2024 (TWh)</t>
        </is>
      </c>
      <c r="E4" s="3" t="inlineStr">
        <is>
          <t>Part du mix 2025</t>
        </is>
      </c>
      <c r="F4" s="3" t="inlineStr">
        <is>
          <t>Part du mix 2024</t>
        </is>
      </c>
    </row>
    <row r="5">
      <c r="A5" s="4" t="inlineStr">
        <is>
          <t>Nucléaire</t>
        </is>
      </c>
      <c r="B5" s="5" t="n">
        <v>373</v>
      </c>
      <c r="C5" s="5" t="n">
        <v>361.7</v>
      </c>
      <c r="D5" s="5">
        <f>B5-C5</f>
        <v/>
      </c>
      <c r="E5" s="6">
        <f>B5/$B$11</f>
        <v/>
      </c>
      <c r="F5" s="6">
        <f>C5/$C$11</f>
        <v/>
      </c>
    </row>
    <row r="6">
      <c r="A6" s="4" t="inlineStr">
        <is>
          <t>Hydraulique</t>
        </is>
      </c>
      <c r="B6" s="5" t="n">
        <v>62.4</v>
      </c>
      <c r="C6" s="5" t="n">
        <v>75.3</v>
      </c>
      <c r="D6" s="5">
        <f>B6-C6</f>
        <v/>
      </c>
      <c r="E6" s="6">
        <f>B6/$B$11</f>
        <v/>
      </c>
      <c r="F6" s="6">
        <f>C6/$C$11</f>
        <v/>
      </c>
    </row>
    <row r="7">
      <c r="A7" s="4" t="inlineStr">
        <is>
          <t>Éolien</t>
        </is>
      </c>
      <c r="B7" s="5" t="n">
        <v>49.6</v>
      </c>
      <c r="C7" s="5" t="n">
        <v>46.8</v>
      </c>
      <c r="D7" s="5">
        <f>B7-C7</f>
        <v/>
      </c>
      <c r="E7" s="6">
        <f>B7/$B$11</f>
        <v/>
      </c>
      <c r="F7" s="6">
        <f>C7/$C$11</f>
        <v/>
      </c>
    </row>
    <row r="8">
      <c r="A8" s="4" t="inlineStr">
        <is>
          <t>Solaire</t>
        </is>
      </c>
      <c r="B8" s="5" t="n">
        <v>32.9</v>
      </c>
      <c r="C8" s="5" t="n">
        <v>24.8</v>
      </c>
      <c r="D8" s="5">
        <f>B8-C8</f>
        <v/>
      </c>
      <c r="E8" s="6">
        <f>B8/$B$11</f>
        <v/>
      </c>
      <c r="F8" s="6">
        <f>C8/$C$11</f>
        <v/>
      </c>
    </row>
    <row r="9">
      <c r="A9" s="4" t="inlineStr">
        <is>
          <t>Autres renouvelables (bioénergies, déchets, marémotrice)</t>
        </is>
      </c>
      <c r="B9" s="5">
        <f>521.1-(B5+B6+B7+B8)</f>
        <v/>
      </c>
      <c r="C9" s="5">
        <f>(547.5-8.2)-((373-11.3)+(62.4+12.9)+(49.6-2.8)+(32.9-8.1))-C10</f>
        <v/>
      </c>
      <c r="D9" s="5">
        <f>B9-C9</f>
        <v/>
      </c>
      <c r="E9" s="6">
        <f>B9/$B$11</f>
        <v/>
      </c>
      <c r="F9" s="6">
        <f>C9/$C$11</f>
        <v/>
      </c>
    </row>
    <row r="10">
      <c r="A10" s="4" t="inlineStr">
        <is>
          <t>Thermique fossile (gaz, charbon, fioul)</t>
        </is>
      </c>
      <c r="B10" s="5">
        <f>547.5-521.1</f>
        <v/>
      </c>
      <c r="C10" s="5">
        <f>B10+1.3</f>
        <v/>
      </c>
      <c r="D10" s="5">
        <f>B10-C10</f>
        <v/>
      </c>
      <c r="E10" s="6">
        <f>B10/$B$11</f>
        <v/>
      </c>
      <c r="F10" s="6">
        <f>C10/$C$11</f>
        <v/>
      </c>
    </row>
    <row r="11">
      <c r="A11" s="7" t="inlineStr">
        <is>
          <t>TOTAL production métropolitaine</t>
        </is>
      </c>
      <c r="B11" s="8">
        <f>SUM(B5:B10)</f>
        <v/>
      </c>
      <c r="C11" s="8">
        <f>SUM(C5:C10)</f>
        <v/>
      </c>
      <c r="D11" s="8">
        <f>SUM(D5:D10)</f>
        <v/>
      </c>
      <c r="E11" s="9">
        <f>SUM(E5:E10)</f>
        <v/>
      </c>
      <c r="F11" s="9">
        <f>SUM(F5:F10)</f>
        <v/>
      </c>
    </row>
    <row r="13">
      <c r="A13" t="inlineStr">
        <is>
          <t>Dont : production bas carbone (nucléaire + renouvelable)</t>
        </is>
      </c>
      <c r="B13" s="10" t="n">
        <v>521.1</v>
      </c>
      <c r="C13" s="11">
        <f>B13/B11</f>
        <v/>
      </c>
    </row>
    <row r="14">
      <c r="A14" s="12" t="inlineStr">
        <is>
          <t>Soit 95,2 % du mix — record historique (RTE, Bilan électrique 2025)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62" customWidth="1" min="4" max="4"/>
  </cols>
  <sheetData>
    <row r="1">
      <c r="A1" s="1" t="inlineStr">
        <is>
          <t>Le système électrique français en 2025 — indicateurs clés</t>
        </is>
      </c>
    </row>
    <row r="3">
      <c r="A3" s="3" t="inlineStr">
        <is>
          <t>Indicateur</t>
        </is>
      </c>
      <c r="B3" s="3" t="inlineStr">
        <is>
          <t>Valeur</t>
        </is>
      </c>
      <c r="C3" s="3" t="inlineStr">
        <is>
          <t>Unité</t>
        </is>
      </c>
      <c r="D3" s="3" t="inlineStr">
        <is>
          <t>Comparaison / commentaire</t>
        </is>
      </c>
    </row>
    <row r="4">
      <c r="A4" s="4" t="inlineStr">
        <is>
          <t>Production d'électricité (métropole)</t>
        </is>
      </c>
      <c r="B4" s="5" t="n">
        <v>547.5</v>
      </c>
      <c r="C4" s="4" t="inlineStr">
        <is>
          <t>TWh</t>
        </is>
      </c>
      <c r="D4" s="4" t="inlineStr">
        <is>
          <t>+8,2 TWh (+1,5 %) vs 2024 — proche du niveau d'avant-crise</t>
        </is>
      </c>
    </row>
    <row r="5">
      <c r="A5" s="4" t="inlineStr">
        <is>
          <t>Production bas carbone (record)</t>
        </is>
      </c>
      <c r="B5" s="5" t="n">
        <v>521.1</v>
      </c>
      <c r="C5" s="4" t="inlineStr">
        <is>
          <t>TWh</t>
        </is>
      </c>
      <c r="D5" s="4" t="inlineStr">
        <is>
          <t>part bas carbone : 95,2 % du mix (calculs détaillés dans la feuille « Mix 2025 »)</t>
        </is>
      </c>
    </row>
    <row r="6">
      <c r="A6" s="4" t="inlineStr">
        <is>
          <t>Part des renouvelables</t>
        </is>
      </c>
      <c r="B6" s="6" t="n">
        <v>0.27</v>
      </c>
      <c r="C6" s="4" t="inlineStr">
        <is>
          <t>du mix</t>
        </is>
      </c>
      <c r="D6" s="4" t="inlineStr">
        <is>
          <t>27,0 % en 2025, contre 27,9 % en 2024 (hydro en repli)</t>
        </is>
      </c>
    </row>
    <row r="7">
      <c r="A7" s="4" t="inlineStr">
        <is>
          <t>Consommation brute française</t>
        </is>
      </c>
      <c r="B7" s="5" t="n">
        <v>446.1</v>
      </c>
      <c r="C7" s="4" t="inlineStr">
        <is>
          <t>TWh</t>
        </is>
      </c>
      <c r="D7" s="4" t="inlineStr">
        <is>
          <t>stable en 2025 ; −6 % vs moyenne 2014-2019</t>
        </is>
      </c>
    </row>
    <row r="8">
      <c r="A8" s="4" t="inlineStr">
        <is>
          <t>Solde exportateur net</t>
        </is>
      </c>
      <c r="B8" s="5" t="n">
        <v>92.3</v>
      </c>
      <c r="C8" s="4" t="inlineStr">
        <is>
          <t>TWh</t>
        </is>
      </c>
      <c r="D8" s="4" t="inlineStr">
        <is>
          <t>record : 89,0 TWh en 2024 ; ≈ consommation annuelle de la Belgique</t>
        </is>
      </c>
    </row>
    <row r="9">
      <c r="A9" s="4" t="inlineStr">
        <is>
          <t>Puissance installée fin 2025</t>
        </is>
      </c>
      <c r="B9" s="5" t="n">
        <v>164.5</v>
      </c>
      <c r="C9" s="4" t="inlineStr">
        <is>
          <t>GW</t>
        </is>
      </c>
      <c r="D9" s="4" t="inlineStr">
        <is>
          <t>inclut Flamanville 3 (1,6 GW), raccordé en décembre 2024</t>
        </is>
      </c>
    </row>
    <row r="10">
      <c r="A10" s="4" t="inlineStr">
        <is>
          <t>Puissance solaire installée</t>
        </is>
      </c>
      <c r="B10" s="5" t="n">
        <v>30.4</v>
      </c>
      <c r="C10" s="4" t="inlineStr">
        <is>
          <t>GW</t>
        </is>
      </c>
      <c r="D10" s="4" t="inlineStr">
        <is>
          <t>dont 18 % d'autoconsommation (≈2,9 TWh autoconsommés)</t>
        </is>
      </c>
    </row>
    <row r="11">
      <c r="A11" s="4" t="inlineStr">
        <is>
          <t>Éolien en mer produit</t>
        </is>
      </c>
      <c r="B11" s="5" t="n">
        <v>5.7</v>
      </c>
      <c r="C11" s="4" t="inlineStr">
        <is>
          <t>TWh</t>
        </is>
      </c>
      <c r="D11" s="4" t="inlineStr">
        <is>
          <t>+43 % vs 2024 (+1,7 TWh)</t>
        </is>
      </c>
    </row>
    <row r="12">
      <c r="A12" s="4" t="inlineStr">
        <is>
          <t>Prix spot moyen annuel</t>
        </is>
      </c>
      <c r="B12" s="5" t="n">
        <v>61</v>
      </c>
      <c r="C12" s="4" t="inlineStr">
        <is>
          <t>€/MWh</t>
        </is>
      </c>
      <c r="D12" s="4" t="inlineStr">
        <is>
          <t>58 €/MWh en 2024</t>
        </is>
      </c>
    </row>
    <row r="13">
      <c r="A13" s="4" t="inlineStr">
        <is>
          <t>Modulation solaire/éolien (prix négatifs)</t>
        </is>
      </c>
      <c r="B13" s="5" t="n">
        <v>3</v>
      </c>
      <c r="C13" s="4" t="inlineStr">
        <is>
          <t>TWh</t>
        </is>
      </c>
      <c r="D13" s="4" t="inlineStr">
        <is>
          <t>doublée vs 2024 : 1,3 éolien terrestre + 1,6 solaire</t>
        </is>
      </c>
    </row>
    <row r="14">
      <c r="A14" s="4" t="inlineStr">
        <is>
          <t>Production thermique fossile</t>
        </is>
      </c>
      <c r="B14" s="5" t="n">
        <v>26.4</v>
      </c>
      <c r="C14" s="4" t="inlineStr">
        <is>
          <t>TWh</t>
        </is>
      </c>
      <c r="D14" s="4" t="inlineStr">
        <is>
          <t>plus bas depuis ~75 ans (−1,3 TWh vs 2024)</t>
        </is>
      </c>
    </row>
    <row r="15">
      <c r="A15" s="7" t="inlineStr">
        <is>
          <t>Export net / production totale</t>
        </is>
      </c>
      <c r="B15" s="13">
        <f>B8/B4</f>
        <v/>
      </c>
      <c r="C15" s="7" t="inlineStr">
        <is>
          <t>calculé</t>
        </is>
      </c>
      <c r="D15" s="7" t="inlineStr">
        <is>
          <t>≈17 % de l'électricité produite en France est vendue à l'étranger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68" customWidth="1" min="2" max="2"/>
    <col width="62" customWidth="1" min="3" max="3"/>
  </cols>
  <sheetData>
    <row r="1">
      <c r="A1" s="1" t="inlineStr">
        <is>
          <t>Sources (toutes les valeurs ci-dessus sont sourcées)</t>
        </is>
      </c>
    </row>
    <row r="3">
      <c r="A3" s="3" t="inlineStr">
        <is>
          <t>Source</t>
        </is>
      </c>
      <c r="B3" s="3" t="inlineStr">
        <is>
          <t>Référence / URL</t>
        </is>
      </c>
      <c r="C3" s="3" t="inlineStr">
        <is>
          <t>Données utilisées</t>
        </is>
      </c>
    </row>
    <row r="4">
      <c r="A4" s="14" t="inlineStr">
        <is>
          <t>RTE — Bilan électrique 2025 (25/02/2026)</t>
        </is>
      </c>
      <c r="B4" s="14" t="inlineStr">
        <is>
          <t>https://analysesetdonnees.rte-france.com/bilan-electrique-2025/production</t>
        </is>
      </c>
      <c r="C4" s="14" t="inlineStr">
        <is>
          <t>Production totale 547,5 TWh, nucléaire 373,0 TWh, hydraulique 62,4 TWh, bas carbone 521,1 TWh (95,2 %), parts ENR 27 %</t>
        </is>
      </c>
    </row>
    <row r="5">
      <c r="A5" s="14" t="inlineStr">
        <is>
          <t>RTE — 2025 Electricity review, Key findings (15/04/2026)</t>
        </is>
      </c>
      <c r="B5" s="14" t="inlineStr">
        <is>
          <t>https://analysesetdonnees.rte-france.com/en/annual-review-2025/keyfindings</t>
        </is>
      </c>
      <c r="C5" s="14" t="inlineStr">
        <is>
          <t>Évolution 2024→2025 par filière, fossiles au plus bas depuis ~75 ans, export net 92,3 TWh, parc 164,5 GW, modulation prix négatifs ~3 TWh</t>
        </is>
      </c>
    </row>
    <row r="6">
      <c r="A6" s="14" t="inlineStr">
        <is>
          <t>RTE — Bilan électrique 2025, principaux résultats (PDF)</t>
        </is>
      </c>
      <c r="B6" s="14" t="inlineStr">
        <is>
          <t>https://assets.rte-france.com/prod/public/2026-03/Bilan-electrique-2025-principaux-resultats.pdf</t>
        </is>
      </c>
      <c r="C6" s="14" t="inlineStr">
        <is>
          <t>Maximum historique bas carbone 521,1 TWh</t>
        </is>
      </c>
    </row>
    <row r="7">
      <c r="A7" s="14" t="inlineStr">
        <is>
          <t>RTE — Bilan électrique 2025, rapport complet (PDF)</t>
        </is>
      </c>
      <c r="B7" s="14" t="inlineStr">
        <is>
          <t>https://assets.rte-france.com/prod/public/2026-03/Bilan-electrique-2025-rapport-complet.pdf</t>
        </is>
      </c>
      <c r="C7" s="14" t="inlineStr">
        <is>
          <t>Solaire 30,4 GW installés fin 2025, autoconsommation 2,9 TWh, prix spot 61 €/MWh</t>
        </is>
      </c>
    </row>
    <row r="8">
      <c r="A8" s="14" t="inlineStr">
        <is>
          <t>Connaissance des énergies (fév. 2026)</t>
        </is>
      </c>
      <c r="B8" s="14" t="inlineStr">
        <is>
          <t>https://www.connaissancedesenergies.org/la-production-electrique-bas-carbone-de-la-france-atteint-un-maximum-historique-en-2025</t>
        </is>
      </c>
      <c r="C8" s="14" t="inlineStr">
        <is>
          <t>Éolien 49,6 TWh (9,1 %), solaire 32,9 TWh (6 %), évolution nucléaire +11,3 TWh</t>
        </is>
      </c>
    </row>
    <row r="9">
      <c r="A9" s="14" t="inlineStr">
        <is>
          <t>EDF — Production</t>
        </is>
      </c>
      <c r="B9" s="14" t="inlineStr">
        <is>
          <t>https://www.edf.fr/groupe-edf/comprendre/production</t>
        </is>
      </c>
      <c r="C9" s="14" t="inlineStr">
        <is>
          <t>547,5 TWh produits en 2025, 95 % décarbonés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2026-09-25T10:25:37Z</dcterms:created>
  <dcterms:modified xmlns:dcterms="http://purl.org/dc/terms/" xmlns:xsi="http://www.w3.org/2001/XMLSchema-instance" xsi:type="dcterms:W3CDTF">2026-09-25T10:25:37Z</dcterms:modified>
</cp:coreProperties>
</file>