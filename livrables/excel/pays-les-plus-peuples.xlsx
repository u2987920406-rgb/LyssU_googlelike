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Analyse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'Top 10'!$A$4:$K$14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4" fillId="3" borderId="1" pivotButton="0" quotePrefix="0" xfId="0"/>
    <xf numFmtId="3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4" fillId="4" borderId="1" pivotButton="0" quotePrefix="0" xfId="0"/>
    <xf numFmtId="3" fontId="4" fillId="4" borderId="1" pivotButton="0" quotePrefix="0" xfId="0"/>
    <xf numFmtId="2" fontId="4" fillId="4" borderId="1" pivotButton="0" quotePrefix="0" xfId="0"/>
    <xf numFmtId="164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164" fontId="0" fillId="3" borderId="1" pivotButton="0" quotePrefix="0" xfId="0"/>
    <xf numFmtId="0" fontId="2" fillId="3" borderId="1" pivotButton="0" quotePrefix="0" xfId="0"/>
    <xf numFmtId="49" fontId="0" fillId="0" borderId="1" pivotButton="0" quotePrefix="0" xfId="0"/>
    <xf numFmtId="3" fontId="0" fillId="3" borderId="1" pivotButton="0" quotePrefix="0" xfId="0"/>
    <xf numFmtId="2" fontId="0" fillId="3" borderId="1" pivotButton="0" quotePrefix="0" xfId="0"/>
    <xf numFmtId="1" fontId="0" fillId="3" borderId="1" pivotButton="0" quotePrefix="0" xfId="0"/>
    <xf numFmtId="164" fontId="0" fillId="0" borderId="1" pivotButton="0" quotePrefix="0" xfId="0"/>
    <xf numFmtId="49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4" customWidth="1" min="4" max="4"/>
    <col width="18" customWidth="1" min="5" max="5"/>
    <col width="16" customWidth="1" min="6" max="6"/>
    <col width="15" customWidth="1" min="7" max="7"/>
    <col width="12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Les 10 pays les plus peuplés du monde</t>
        </is>
      </c>
    </row>
    <row r="2" ht="30" customHeight="1">
      <c r="A2" s="2" t="inlineStr">
        <is>
          <t>Populations estimées au 1er juillet 2026 — source : Worldometer, d'après ONU World Population Prospects 2024 et superficies terrestres Banque mondiale (consulté le 2026-09-25).</t>
        </is>
      </c>
    </row>
    <row r="4" ht="45" customHeight="1">
      <c r="A4" s="3" t="inlineStr">
        <is>
          <t>Rang</t>
        </is>
      </c>
      <c r="B4" s="3" t="inlineStr">
        <is>
          <t>Pays</t>
        </is>
      </c>
      <c r="C4" s="3" t="inlineStr">
        <is>
          <t>Population 2026</t>
        </is>
      </c>
      <c r="D4" s="3" t="inlineStr">
        <is>
          <t>Croissance annuelle (%)</t>
        </is>
      </c>
      <c r="E4" s="3" t="inlineStr">
        <is>
          <t>Superficie terrestre (km²)</t>
        </is>
      </c>
      <c r="F4" s="3" t="inlineStr">
        <is>
          <t>Densité calculée (hab/km²)</t>
        </is>
      </c>
      <c r="G4" s="3" t="inlineStr">
        <is>
          <t>Densité publiée (hab/km²)</t>
        </is>
      </c>
      <c r="H4" s="3" t="inlineStr">
        <is>
          <t>Indice de fécondité</t>
        </is>
      </c>
      <c r="I4" s="3" t="inlineStr">
        <is>
          <t>Âge médian (ans)</t>
        </is>
      </c>
      <c r="J4" s="3" t="inlineStr">
        <is>
          <t>Population urbaine (%)</t>
        </is>
      </c>
      <c r="K4" s="3" t="inlineStr">
        <is>
          <t>Part du monde calculée (%)</t>
        </is>
      </c>
    </row>
    <row r="5">
      <c r="A5" s="4" t="n">
        <v>1</v>
      </c>
      <c r="B5" s="5" t="inlineStr">
        <is>
          <t>Inde</t>
        </is>
      </c>
      <c r="C5" s="6" t="n">
        <v>1476625576</v>
      </c>
      <c r="D5" s="7" t="n">
        <v>0.87</v>
      </c>
      <c r="E5" s="6" t="n">
        <v>2973190</v>
      </c>
      <c r="F5" s="6">
        <f>ROUND(C5/E5,0)</f>
        <v/>
      </c>
      <c r="G5" s="6" t="n">
        <v>497</v>
      </c>
      <c r="H5" s="7" t="n">
        <v>1.93</v>
      </c>
      <c r="I5" s="8" t="n">
        <v>29.2</v>
      </c>
      <c r="J5" s="8" t="n">
        <v>37.6</v>
      </c>
      <c r="K5" s="7">
        <f>ROUND(C5/$C$16*100,2)</f>
        <v/>
      </c>
    </row>
    <row r="6">
      <c r="A6" s="9" t="n">
        <v>2</v>
      </c>
      <c r="B6" s="10" t="inlineStr">
        <is>
          <t>Chine</t>
        </is>
      </c>
      <c r="C6" s="11" t="n">
        <v>1412914089</v>
      </c>
      <c r="D6" s="12" t="n">
        <v>-0.22</v>
      </c>
      <c r="E6" s="11" t="n">
        <v>9388211</v>
      </c>
      <c r="F6" s="11">
        <f>ROUND(C6/E6,0)</f>
        <v/>
      </c>
      <c r="G6" s="11" t="n">
        <v>150</v>
      </c>
      <c r="H6" s="12" t="n">
        <v>1.03</v>
      </c>
      <c r="I6" s="13" t="n">
        <v>40.6</v>
      </c>
      <c r="J6" s="13" t="n">
        <v>68.7</v>
      </c>
      <c r="K6" s="12">
        <f>ROUND(C6/$C$16*100,2)</f>
        <v/>
      </c>
    </row>
    <row r="7">
      <c r="A7" s="4" t="n">
        <v>3</v>
      </c>
      <c r="B7" s="5" t="inlineStr">
        <is>
          <t>États-Unis</t>
        </is>
      </c>
      <c r="C7" s="6" t="n">
        <v>349035494</v>
      </c>
      <c r="D7" s="7" t="n">
        <v>0.51</v>
      </c>
      <c r="E7" s="6" t="n">
        <v>9147420</v>
      </c>
      <c r="F7" s="6">
        <f>ROUND(C7/E7,0)</f>
        <v/>
      </c>
      <c r="G7" s="6" t="n">
        <v>38</v>
      </c>
      <c r="H7" s="7" t="n">
        <v>1.63</v>
      </c>
      <c r="I7" s="8" t="n">
        <v>38.7</v>
      </c>
      <c r="J7" s="8" t="n">
        <v>83.09999999999999</v>
      </c>
      <c r="K7" s="7">
        <f>ROUND(C7/$C$16*100,2)</f>
        <v/>
      </c>
    </row>
    <row r="8">
      <c r="A8" s="9" t="n">
        <v>4</v>
      </c>
      <c r="B8" s="10" t="inlineStr">
        <is>
          <t>Indonésie</t>
        </is>
      </c>
      <c r="C8" s="11" t="n">
        <v>287886782</v>
      </c>
      <c r="D8" s="12" t="n">
        <v>0.76</v>
      </c>
      <c r="E8" s="11" t="n">
        <v>1811570</v>
      </c>
      <c r="F8" s="11">
        <f>ROUND(C8/E8,0)</f>
        <v/>
      </c>
      <c r="G8" s="11" t="n">
        <v>159</v>
      </c>
      <c r="H8" s="12" t="n">
        <v>2.08</v>
      </c>
      <c r="I8" s="13" t="n">
        <v>30.7</v>
      </c>
      <c r="J8" s="13" t="n">
        <v>60.3</v>
      </c>
      <c r="K8" s="12">
        <f>ROUND(C8/$C$16*100,2)</f>
        <v/>
      </c>
    </row>
    <row r="9">
      <c r="A9" s="4" t="n">
        <v>5</v>
      </c>
      <c r="B9" s="5" t="inlineStr">
        <is>
          <t>Pakistan</t>
        </is>
      </c>
      <c r="C9" s="6" t="n">
        <v>259299791</v>
      </c>
      <c r="D9" s="7" t="n">
        <v>1.6</v>
      </c>
      <c r="E9" s="6" t="n">
        <v>770880</v>
      </c>
      <c r="F9" s="6">
        <f>ROUND(C9/E9,0)</f>
        <v/>
      </c>
      <c r="G9" s="6" t="n">
        <v>336</v>
      </c>
      <c r="H9" s="7" t="n">
        <v>3.44</v>
      </c>
      <c r="I9" s="8" t="n">
        <v>20.8</v>
      </c>
      <c r="J9" s="8" t="n">
        <v>34.7</v>
      </c>
      <c r="K9" s="7">
        <f>ROUND(C9/$C$16*100,2)</f>
        <v/>
      </c>
    </row>
    <row r="10">
      <c r="A10" s="9" t="n">
        <v>6</v>
      </c>
      <c r="B10" s="10" t="inlineStr">
        <is>
          <t>Nigéria</t>
        </is>
      </c>
      <c r="C10" s="11" t="n">
        <v>242431832</v>
      </c>
      <c r="D10" s="12" t="n">
        <v>2.06</v>
      </c>
      <c r="E10" s="11" t="n">
        <v>910770</v>
      </c>
      <c r="F10" s="11">
        <f>ROUND(C10/E10,0)</f>
        <v/>
      </c>
      <c r="G10" s="11" t="n">
        <v>266</v>
      </c>
      <c r="H10" s="12" t="n">
        <v>4.21</v>
      </c>
      <c r="I10" s="13" t="n">
        <v>18.3</v>
      </c>
      <c r="J10" s="13" t="n">
        <v>55.8</v>
      </c>
      <c r="K10" s="12">
        <f>ROUND(C10/$C$16*100,2)</f>
        <v/>
      </c>
    </row>
    <row r="11">
      <c r="A11" s="4" t="n">
        <v>7</v>
      </c>
      <c r="B11" s="5" t="inlineStr">
        <is>
          <t>Brésil</t>
        </is>
      </c>
      <c r="C11" s="6" t="n">
        <v>213562666</v>
      </c>
      <c r="D11" s="7" t="n">
        <v>0.35</v>
      </c>
      <c r="E11" s="6" t="n">
        <v>8358140</v>
      </c>
      <c r="F11" s="6">
        <f>ROUND(C11/E11,0)</f>
        <v/>
      </c>
      <c r="G11" s="6" t="n">
        <v>26</v>
      </c>
      <c r="H11" s="7" t="n">
        <v>1.59</v>
      </c>
      <c r="I11" s="8" t="n">
        <v>35.3</v>
      </c>
      <c r="J11" s="8" t="n">
        <v>91.7</v>
      </c>
      <c r="K11" s="7">
        <f>ROUND(C11/$C$16*100,2)</f>
        <v/>
      </c>
    </row>
    <row r="12">
      <c r="A12" s="9" t="n">
        <v>8</v>
      </c>
      <c r="B12" s="10" t="inlineStr">
        <is>
          <t>Bangladesh</t>
        </is>
      </c>
      <c r="C12" s="11" t="n">
        <v>177818044</v>
      </c>
      <c r="D12" s="12" t="n">
        <v>1.21</v>
      </c>
      <c r="E12" s="11" t="n">
        <v>130170</v>
      </c>
      <c r="F12" s="11">
        <f>ROUND(C12/E12,0)</f>
        <v/>
      </c>
      <c r="G12" s="11" t="n">
        <v>1366</v>
      </c>
      <c r="H12" s="12" t="n">
        <v>2.09</v>
      </c>
      <c r="I12" s="13" t="n">
        <v>26.3</v>
      </c>
      <c r="J12" s="13" t="n">
        <v>43.2</v>
      </c>
      <c r="K12" s="12">
        <f>ROUND(C12/$C$16*100,2)</f>
        <v/>
      </c>
    </row>
    <row r="13">
      <c r="A13" s="4" t="n">
        <v>9</v>
      </c>
      <c r="B13" s="5" t="inlineStr">
        <is>
          <t>Russie</t>
        </is>
      </c>
      <c r="C13" s="6" t="n">
        <v>143394458</v>
      </c>
      <c r="D13" s="7" t="n">
        <v>-0.42</v>
      </c>
      <c r="E13" s="6" t="n">
        <v>16376870</v>
      </c>
      <c r="F13" s="6">
        <f>ROUND(C13/E13,0)</f>
        <v/>
      </c>
      <c r="G13" s="6" t="n">
        <v>9</v>
      </c>
      <c r="H13" s="7" t="n">
        <v>1.47</v>
      </c>
      <c r="I13" s="8" t="n">
        <v>40.7</v>
      </c>
      <c r="J13" s="8" t="n">
        <v>75.40000000000001</v>
      </c>
      <c r="K13" s="7">
        <f>ROUND(C13/$C$16*100,2)</f>
        <v/>
      </c>
    </row>
    <row r="14">
      <c r="A14" s="9" t="n">
        <v>10</v>
      </c>
      <c r="B14" s="10" t="inlineStr">
        <is>
          <t>Éthiopie</t>
        </is>
      </c>
      <c r="C14" s="11" t="n">
        <v>138902185</v>
      </c>
      <c r="D14" s="12" t="n">
        <v>2.53</v>
      </c>
      <c r="E14" s="11" t="n">
        <v>1000000</v>
      </c>
      <c r="F14" s="11">
        <f>ROUND(C14/E14,0)</f>
        <v/>
      </c>
      <c r="G14" s="11" t="n">
        <v>139</v>
      </c>
      <c r="H14" s="12" t="n">
        <v>3.72</v>
      </c>
      <c r="I14" s="13" t="n">
        <v>19.3</v>
      </c>
      <c r="J14" s="13" t="n">
        <v>22.9</v>
      </c>
      <c r="K14" s="12">
        <f>ROUND(C14/$C$16*100,2)</f>
        <v/>
      </c>
    </row>
    <row r="15">
      <c r="A15" s="14" t="n"/>
      <c r="B15" s="14" t="inlineStr">
        <is>
          <t>Total du top 10</t>
        </is>
      </c>
      <c r="C15" s="15">
        <f>SUM(C5:C14)</f>
        <v/>
      </c>
      <c r="D15" s="16">
        <f>ROUND(SUMPRODUCT(C5:C14,D5:D14)/C15,2)</f>
        <v/>
      </c>
      <c r="E15" s="15">
        <f>SUM(E5:E14)</f>
        <v/>
      </c>
      <c r="F15" s="14" t="n"/>
      <c r="G15" s="14" t="n"/>
      <c r="H15" s="14" t="n"/>
      <c r="I15" s="14" t="n"/>
      <c r="J15" s="14" t="n"/>
      <c r="K15" s="17">
        <f>ROUND(C15/C16*100,1)</f>
        <v/>
      </c>
    </row>
    <row r="16">
      <c r="A16" s="18" t="n"/>
      <c r="B16" s="5" t="inlineStr">
        <is>
          <t>Population mondiale 2026</t>
        </is>
      </c>
      <c r="C16" s="19" t="n">
        <v>8300678395</v>
      </c>
      <c r="D16" s="20" t="n">
        <v>0.84</v>
      </c>
      <c r="E16" s="18" t="n"/>
      <c r="F16" s="18" t="n"/>
      <c r="G16" s="18" t="n"/>
      <c r="H16" s="18" t="n"/>
      <c r="I16" s="18" t="n"/>
      <c r="J16" s="18" t="n"/>
      <c r="K16" s="21" t="n">
        <v>100</v>
      </c>
    </row>
    <row r="17">
      <c r="B17" s="22" t="inlineStr">
        <is>
          <t>Monde = Worldometer, population mondiale au 1er juillet 2026 (8 300 678 395 hab., croissance +0,84 %/an).</t>
        </is>
      </c>
    </row>
  </sheetData>
  <autoFilter ref="A4:K14"/>
  <mergeCells count="1">
    <mergeCell ref="A2:K2"/>
  </mergeCells>
  <conditionalFormatting sqref="F5:F14">
    <cfRule type="colorScale" priority="1">
      <colorScale>
        <cfvo type="min"/>
        <cfvo type="max"/>
        <color rgb="00FFFFFF"/>
        <color rgb="00FF8C00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52" customWidth="1" min="3" max="3"/>
  </cols>
  <sheetData>
    <row r="1">
      <c r="A1" s="1" t="inlineStr">
        <is>
          <t>Analyses calculées</t>
        </is>
      </c>
    </row>
    <row r="2">
      <c r="A2" s="22" t="inlineStr">
        <is>
          <t>Toutes les valeurs de cet onglet sont des formules vivantes sur l'onglet « Top 10 ».</t>
        </is>
      </c>
    </row>
    <row r="4">
      <c r="A4" s="3" t="inlineStr">
        <is>
          <t>Indicateur</t>
        </is>
      </c>
      <c r="B4" s="3" t="inlineStr">
        <is>
          <t>Valeur</t>
        </is>
      </c>
      <c r="C4" s="3" t="inlineStr">
        <is>
          <t>Formule employée</t>
        </is>
      </c>
    </row>
    <row r="5">
      <c r="A5" s="5" t="inlineStr">
        <is>
          <t>Population cumulée du top 10</t>
        </is>
      </c>
      <c r="B5" s="19">
        <f>'Top 10'!C15</f>
        <v/>
      </c>
      <c r="C5" s="23" t="inlineStr">
        <is>
          <t>SUM des populations du top 10</t>
        </is>
      </c>
    </row>
    <row r="6">
      <c r="A6" s="10" t="inlineStr">
        <is>
          <t>Part du top 10 dans le monde (%)</t>
        </is>
      </c>
      <c r="B6" s="24">
        <f>ROUND('Top 10'!C15/'Top 10'!C16*100,1)</f>
        <v/>
      </c>
      <c r="C6" s="25" t="inlineStr">
        <is>
          <t>total top 10 ÷ population mondiale × 100</t>
        </is>
      </c>
    </row>
    <row r="7">
      <c r="A7" s="5" t="inlineStr">
        <is>
          <t>Superficie cumulée du top 10 (km²)</t>
        </is>
      </c>
      <c r="B7" s="19">
        <f>'Top 10'!E15</f>
        <v/>
      </c>
      <c r="C7" s="23" t="inlineStr">
        <is>
          <t>SUM des superficies terrestres</t>
        </is>
      </c>
    </row>
    <row r="8">
      <c r="A8" s="10" t="inlineStr">
        <is>
          <t>Densité moyenne pondérée (hab/km²)</t>
        </is>
      </c>
      <c r="B8" s="24">
        <f>ROUND('Top 10'!C15/'Top 10'!E15,1)</f>
        <v/>
      </c>
      <c r="C8" s="25" t="inlineStr">
        <is>
          <t>population totale ÷ superficie totale (pas une moyenne naïve)</t>
        </is>
      </c>
    </row>
    <row r="9">
      <c r="A9" s="5" t="inlineStr">
        <is>
          <t>Pays le plus dense</t>
        </is>
      </c>
      <c r="B9" s="26">
        <f>INDEX('Top 10'!B5:B14,MATCH(MAX('Top 10'!G5:G14),'Top 10'!G5:G14,0))</f>
        <v/>
      </c>
      <c r="C9" s="23" t="inlineStr">
        <is>
          <t>INDEX/MATCH sur MAX de la densité publiée</t>
        </is>
      </c>
    </row>
    <row r="10">
      <c r="A10" s="10" t="inlineStr">
        <is>
          <t>Densité max (hab/km²)</t>
        </is>
      </c>
      <c r="B10" s="27">
        <f>MAX('Top 10'!G5:G14)</f>
        <v/>
      </c>
      <c r="C10" s="25" t="inlineStr">
        <is>
          <t>MAX densité publiée</t>
        </is>
      </c>
    </row>
    <row r="11">
      <c r="A11" s="5" t="inlineStr">
        <is>
          <t>Pays le moins dense</t>
        </is>
      </c>
      <c r="B11" s="26">
        <f>INDEX('Top 10'!B5:B14,MATCH(MIN('Top 10'!G5:G14),'Top 10'!G5:G14,0))</f>
        <v/>
      </c>
      <c r="C11" s="23" t="inlineStr">
        <is>
          <t>INDEX/MATCH sur MIN de la densité publiée</t>
        </is>
      </c>
    </row>
    <row r="12">
      <c r="A12" s="10" t="inlineStr">
        <is>
          <t>Densité min (hab/km²)</t>
        </is>
      </c>
      <c r="B12" s="27">
        <f>MIN('Top 10'!G5:G14)</f>
        <v/>
      </c>
      <c r="C12" s="25" t="inlineStr">
        <is>
          <t>MIN densité publiée</t>
        </is>
      </c>
    </row>
    <row r="13">
      <c r="A13" s="5" t="inlineStr">
        <is>
          <t>Rapport de densité max/min</t>
        </is>
      </c>
      <c r="B13" s="21">
        <f>ROUND(MAX('Top 10'!G5:G14)/MIN('Top 10'!G5:G14),0)</f>
        <v/>
      </c>
      <c r="C13" s="23" t="inlineStr">
        <is>
          <t>densité Bangladesh ÷ densité Russie</t>
        </is>
      </c>
    </row>
    <row r="14">
      <c r="A14" s="10" t="inlineStr">
        <is>
          <t>Croissance la plus forte (%/an)</t>
        </is>
      </c>
      <c r="B14" s="28">
        <f>MAX('Top 10'!D5:D14)</f>
        <v/>
      </c>
      <c r="C14" s="25" t="inlineStr">
        <is>
          <t>MAX croissance annuelle</t>
        </is>
      </c>
    </row>
    <row r="15">
      <c r="A15" s="5" t="inlineStr">
        <is>
          <t>Pays à la croissance la plus forte</t>
        </is>
      </c>
      <c r="B15" s="26">
        <f>INDEX('Top 10'!B5:B14,MATCH(MAX('Top 10'!D5:D14),'Top 10'!D5:D14,0))</f>
        <v/>
      </c>
      <c r="C15" s="23" t="inlineStr">
        <is>
          <t>INDEX/MATCH sur MAX de la croissance</t>
        </is>
      </c>
    </row>
    <row r="16">
      <c r="A16" s="10" t="inlineStr">
        <is>
          <t>Pays en décroissance (effectif)</t>
        </is>
      </c>
      <c r="B16" s="29">
        <f>COUNTIF('Top 10'!D5:D14,"&lt;0")</f>
        <v/>
      </c>
      <c r="C16" s="25" t="inlineStr">
        <is>
          <t>COUNTIF croissance négative — Chine et Russie</t>
        </is>
      </c>
    </row>
    <row r="17">
      <c r="A17" s="5" t="inlineStr">
        <is>
          <t>Âge médian moyen du top 10 (ans)</t>
        </is>
      </c>
      <c r="B17" s="30">
        <f>ROUND(AVERAGE('Top 10'!I5:I14),1)</f>
        <v/>
      </c>
      <c r="C17" s="23" t="inlineStr">
        <is>
          <t>AVERAGE des âges médians</t>
        </is>
      </c>
    </row>
    <row r="18">
      <c r="A18" s="10" t="inlineStr">
        <is>
          <t>Pays le plus jeune (âge médian)</t>
        </is>
      </c>
      <c r="B18" s="31">
        <f>INDEX('Top 10'!B5:B14,MATCH(MIN('Top 10'!I5:I14),'Top 10'!I5:I14,0))</f>
        <v/>
      </c>
      <c r="C18" s="25" t="inlineStr">
        <is>
          <t>INDEX/MATCH sur MIN de l'âge médian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13" customWidth="1" min="4" max="4"/>
  </cols>
  <sheetData>
    <row r="1">
      <c r="A1" s="1" t="inlineStr">
        <is>
          <t>Sources et méthode</t>
        </is>
      </c>
    </row>
    <row r="3">
      <c r="A3" s="3" t="inlineStr">
        <is>
          <t>Source</t>
        </is>
      </c>
      <c r="B3" s="3" t="inlineStr">
        <is>
          <t>Ce qu'elle fournit dans ce fichier</t>
        </is>
      </c>
      <c r="C3" s="3" t="inlineStr">
        <is>
          <t>URL</t>
        </is>
      </c>
      <c r="D3" s="3" t="inlineStr">
        <is>
          <t>Consultée le</t>
        </is>
      </c>
    </row>
    <row r="4" ht="58" customHeight="1">
      <c r="A4" s="32" t="inlineStr">
        <is>
          <t>Worldometer — Countries in the world by population (2026)</t>
        </is>
      </c>
      <c r="B4" s="33" t="inlineStr">
        <is>
          <t>Populations 2026 des 10 pays, croissance annuelle, densités publiées, indices de fécondité, âges médians, parts urbaines et parts du monde</t>
        </is>
      </c>
      <c r="C4" s="34" t="inlineStr">
        <is>
          <t>https://www.worldometers.info/world-population/population-by-country/</t>
        </is>
      </c>
      <c r="D4" s="33" t="inlineStr">
        <is>
          <t>2026-09-25</t>
        </is>
      </c>
    </row>
    <row r="5" ht="58" customHeight="1">
      <c r="A5" s="32" t="inlineStr">
        <is>
          <t>Worldometer — Population mondiale (2026)</t>
        </is>
      </c>
      <c r="B5" s="33" t="inlineStr">
        <is>
          <t>Population mondiale du 1er juillet 2026 : 8 300 678 395 hab. (croissance +0,84 %/an) — dénominateur des parts calculées</t>
        </is>
      </c>
      <c r="C5" s="34" t="inlineStr">
        <is>
          <t>https://www.worldometers.info/fr/population-mondiale/</t>
        </is>
      </c>
      <c r="D5" s="33" t="inlineStr">
        <is>
          <t>2026-09-25</t>
        </is>
      </c>
    </row>
    <row r="6" ht="58" customHeight="1">
      <c r="A6" s="32" t="inlineStr">
        <is>
          <t>ONU DESA — World Population Prospects 2024</t>
        </is>
      </c>
      <c r="B6" s="33" t="inlineStr">
        <is>
          <t>Base démographique officielle dont Worldometer dérive (estimations 1950-2024, projections jusqu'en 2100 ; population mondiale 8,2 Md en 2024)</t>
        </is>
      </c>
      <c r="C6" s="34" t="inlineStr">
        <is>
          <t>https://population.un.org/wpp/</t>
        </is>
      </c>
      <c r="D6" s="33" t="inlineStr">
        <is>
          <t>2026-09-25</t>
        </is>
      </c>
    </row>
    <row r="7" ht="58" customHeight="1">
      <c r="A7" s="32" t="inlineStr">
        <is>
          <t>Banque mondiale — Indicateur AG.LND.TOTL.K2 (surface terrestre)</t>
        </is>
      </c>
      <c r="B7" s="33" t="inlineStr">
        <is>
          <t>Surfaces terrestres en km², reprises par Worldometer dans la colonne Land Area</t>
        </is>
      </c>
      <c r="C7" s="34" t="inlineStr">
        <is>
          <t>https://data.worldbank.org/indicator/AG.LND.TOTL.K2</t>
        </is>
      </c>
      <c r="D7" s="33" t="inlineStr">
        <is>
          <t>2026-09-25</t>
        </is>
      </c>
    </row>
    <row r="9" ht="70" customHeight="1">
      <c r="A9" s="2" t="inlineStr">
        <is>
          <t>Méthode — colonnes calculées : la densité calculée = population ÷ superficie terrestre (elle recoupe la densité publiée Worldometer) ; la part du monde calculée = population ÷ 8 300 678 395 (population mondiale 2026). L'onglet « Analyses » ne contient que des formules vivantes sur l'onglet « Top 10 ».</t>
        </is>
      </c>
    </row>
  </sheetData>
  <mergeCells count="1">
    <mergeCell ref="A9:D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2026-09-25T06:25:38Z</dcterms:created>
  <dcterms:modified xmlns:dcterms="http://purl.org/dc/terms/" xmlns:xsi="http://www.w3.org/2001/XMLSchema-instance" xsi:type="dcterms:W3CDTF">2026-09-25T06:25:38Z</dcterms:modified>
</cp:coreProperties>
</file>